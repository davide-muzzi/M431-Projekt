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GIBZ\Informatik Module\M431\"/>
    </mc:Choice>
  </mc:AlternateContent>
  <xr:revisionPtr revIDLastSave="0" documentId="8_{4188B641-B2CC-4C1E-800C-958831E95A60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Paarvergleichsmatrix" sheetId="4" r:id="rId1"/>
    <sheet name="Nutzwertanalyse Vorlage " sheetId="1" r:id="rId2"/>
  </sheets>
  <definedNames>
    <definedName name="_xlnm.Print_Area" localSheetId="1">'Nutzwertanalyse Vorlage '!$A$1:$K$34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7" i="1" l="1"/>
  <c r="K10" i="4"/>
  <c r="K4" i="4"/>
  <c r="K5" i="4"/>
  <c r="K6" i="4"/>
  <c r="K7" i="4"/>
  <c r="K8" i="4"/>
  <c r="K9" i="4"/>
  <c r="K3" i="4"/>
  <c r="K2" i="4"/>
  <c r="J3" i="1"/>
  <c r="L3" i="4"/>
  <c r="C8" i="1"/>
  <c r="L4" i="4"/>
  <c r="C9" i="1"/>
  <c r="L5" i="4"/>
  <c r="C10" i="1"/>
  <c r="L6" i="4"/>
  <c r="C11" i="1"/>
  <c r="L7" i="4"/>
  <c r="C12" i="1"/>
  <c r="L8" i="4"/>
  <c r="C13" i="1"/>
  <c r="L9" i="4"/>
  <c r="C14" i="1"/>
  <c r="L2" i="4"/>
  <c r="L10" i="4"/>
  <c r="C7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H8" i="1"/>
  <c r="E8" i="1"/>
  <c r="C17" i="1"/>
  <c r="K7" i="1"/>
  <c r="K17" i="1"/>
  <c r="H7" i="1"/>
  <c r="E7" i="1"/>
  <c r="E17" i="1"/>
</calcChain>
</file>

<file path=xl/sharedStrings.xml><?xml version="1.0" encoding="utf-8"?>
<sst xmlns="http://schemas.openxmlformats.org/spreadsheetml/2006/main" count="44" uniqueCount="32">
  <si>
    <t>Nr</t>
  </si>
  <si>
    <t>Kriterium</t>
  </si>
  <si>
    <t>Wert</t>
  </si>
  <si>
    <t>Faktor</t>
  </si>
  <si>
    <t xml:space="preserve">Formel für Faktor: </t>
  </si>
  <si>
    <t>Wert / Summentotal = %</t>
  </si>
  <si>
    <t>Beispiel:</t>
  </si>
  <si>
    <t>Wert Musterkriterium: 7</t>
  </si>
  <si>
    <t>Summe: 32</t>
  </si>
  <si>
    <t>Faktor = 7 / 32 = 0.3</t>
  </si>
  <si>
    <t>Summe</t>
  </si>
  <si>
    <t>Nutzwertanalyse</t>
  </si>
  <si>
    <t>Projekt:</t>
  </si>
  <si>
    <t>Datum:</t>
  </si>
  <si>
    <t xml:space="preserve">Nr </t>
  </si>
  <si>
    <t>Bewertung</t>
  </si>
  <si>
    <t>Punkte</t>
  </si>
  <si>
    <t xml:space="preserve">Bewertung </t>
  </si>
  <si>
    <t>Nutzwert</t>
  </si>
  <si>
    <t>M431 Notenverwaltung</t>
  </si>
  <si>
    <t>Wissen</t>
  </si>
  <si>
    <t>HTML + CSS + JS</t>
  </si>
  <si>
    <t>Blazor</t>
  </si>
  <si>
    <t>MS Forms</t>
  </si>
  <si>
    <t>Arbeitsaufwand</t>
  </si>
  <si>
    <t>Funktionalität</t>
  </si>
  <si>
    <t>Sendungsformat</t>
  </si>
  <si>
    <t>Sendungmöglichkeit</t>
  </si>
  <si>
    <t>Gestaltung</t>
  </si>
  <si>
    <t>Erweiterbarkeit</t>
  </si>
  <si>
    <t>Sicherheit</t>
  </si>
  <si>
    <t>Integration zu Systemen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</si>
</sst>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</patternFill>
    </fill>
    <fill>
      <patternFill patternType="lightDown"/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4" borderId="0" applyNumberFormat="0" applyBorder="0" applyAlignment="0" applyProtection="0"/>
    <xf numFmtId="0" fontId="6" fillId="0" borderId="0" applyNumberFormat="0" applyFont="0" applyFill="0" applyBorder="0" applyAlignment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center"/>
    </xf>
    <xf numFmtId="0" fontId="0" fillId="5" borderId="0" xfId="0" applyFill="1"/>
    <xf numFmtId="0" fontId="7" fillId="4" borderId="0" xfId="1" applyFont="1"/>
    <xf numFmtId="0" fontId="7" fillId="4" borderId="0" xfId="1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0" applyFont="1" applyAlignment="1">
      <alignment horizontal="center" vertical="top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3">
    <cellStyle name="Akzent5" xfId="1" builtinId="45"/>
    <cellStyle name="Standard" xfId="0" builtinId="0"/>
    <cellStyle name="Stil 1" xfId="2" xr:uid="{9C1DBB4A-78A7-49A4-8862-851C1B6BCA1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</xdr:colOff>
      <xdr:row>19</xdr:row>
      <xdr:rowOff>101600</xdr:rowOff>
    </xdr:from>
    <xdr:to>
      <xdr:col>6</xdr:col>
      <xdr:colOff>284480</xdr:colOff>
      <xdr:row>33</xdr:row>
      <xdr:rowOff>7620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21640" y="3362960"/>
          <a:ext cx="5501640" cy="267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Anmerkung</a:t>
          </a:r>
          <a:r>
            <a:rPr lang="de-DE" sz="1200" b="1" baseline="0"/>
            <a:t> zur Nutzwertanalyse:</a:t>
          </a:r>
        </a:p>
        <a:p>
          <a:endParaRPr lang="de-DE" sz="1100" baseline="0"/>
        </a:p>
        <a:p>
          <a:r>
            <a:rPr lang="de-DE" sz="1100"/>
            <a:t>Diese</a:t>
          </a:r>
          <a:r>
            <a:rPr lang="de-DE" sz="1100" baseline="0"/>
            <a:t> vereinfachte Nutzwertanalyse geht davon aus, dass bis zu 8 Kriterien miteinander verglichen werden.</a:t>
          </a:r>
        </a:p>
        <a:p>
          <a:endParaRPr lang="de-DE" sz="1100" baseline="0"/>
        </a:p>
        <a:p>
          <a:endParaRPr lang="de-DE" sz="1100" baseline="0"/>
        </a:p>
        <a:p>
          <a:r>
            <a:rPr lang="de-DE" sz="1100" baseline="0"/>
            <a:t>Die Bewertung des Erfüllungsgrades eines Kriteriums sollte idealerweise im Schulnotensystem (1 = schlechteste, 6 = beste) ausgeführt werden.</a:t>
          </a:r>
        </a:p>
        <a:p>
          <a:endParaRPr lang="de-DE" sz="1100" baseline="0"/>
        </a:p>
        <a:p>
          <a:r>
            <a:rPr lang="de-DE" sz="1100" baseline="0"/>
            <a:t>Die Punkte werden automatisch berechnet (Gewichtung x Bewertung)</a:t>
          </a:r>
        </a:p>
        <a:p>
          <a:endParaRPr lang="de-DE" sz="1100" baseline="0"/>
        </a:p>
        <a:p>
          <a:r>
            <a:rPr lang="de-DE" sz="1100" baseline="0"/>
            <a:t>Der Nutzwert ist die Summe der erreichten Punkten einer Lösung.</a:t>
          </a:r>
        </a:p>
        <a:p>
          <a:endParaRPr lang="de-DE" sz="1100" baseline="0"/>
        </a:p>
        <a:p>
          <a:endParaRPr lang="de-DE" sz="1100"/>
        </a:p>
        <a:p>
          <a:endParaRPr lang="de-DE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F147-5196-46F9-8FF6-27D426EEAC9C}">
  <dimension ref="A1:Q10"/>
  <sheetViews>
    <sheetView workbookViewId="0">
      <selection activeCell="H12" sqref="H12"/>
    </sheetView>
  </sheetViews>
  <sheetFormatPr baseColWidth="10" defaultColWidth="11" defaultRowHeight="15.5" x14ac:dyDescent="0.35"/>
  <cols>
    <col min="1" max="1" width="3.33203125" customWidth="1"/>
    <col min="2" max="2" width="23.5" customWidth="1"/>
    <col min="3" max="10" width="2.58203125" customWidth="1"/>
    <col min="12" max="12" width="26.83203125" bestFit="1" customWidth="1"/>
  </cols>
  <sheetData>
    <row r="1" spans="1:17" x14ac:dyDescent="0.35">
      <c r="A1" s="12" t="s">
        <v>0</v>
      </c>
      <c r="B1" s="12" t="s">
        <v>1</v>
      </c>
      <c r="C1" s="13">
        <v>1</v>
      </c>
      <c r="D1" s="13">
        <v>2</v>
      </c>
      <c r="E1" s="13">
        <v>3</v>
      </c>
      <c r="F1" s="13">
        <v>4</v>
      </c>
      <c r="G1" s="13">
        <v>5</v>
      </c>
      <c r="H1" s="13">
        <v>6</v>
      </c>
      <c r="I1" s="13">
        <v>7</v>
      </c>
      <c r="J1" s="13">
        <v>8</v>
      </c>
      <c r="K1" s="13" t="s">
        <v>2</v>
      </c>
      <c r="L1" s="13" t="s">
        <v>3</v>
      </c>
    </row>
    <row r="2" spans="1:17" x14ac:dyDescent="0.35">
      <c r="A2" s="2">
        <v>1</v>
      </c>
      <c r="B2" t="s">
        <v>20</v>
      </c>
      <c r="C2" s="11"/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f>SUM(D2:J2)</f>
        <v>14</v>
      </c>
      <c r="L2" s="15">
        <f>K2/$K$10</f>
        <v>0.2413793103448276</v>
      </c>
      <c r="N2" s="14" t="s">
        <v>4</v>
      </c>
      <c r="O2" s="14"/>
      <c r="P2" s="14" t="s">
        <v>5</v>
      </c>
      <c r="Q2" s="14"/>
    </row>
    <row r="3" spans="1:17" x14ac:dyDescent="0.35">
      <c r="A3" s="2">
        <v>2</v>
      </c>
      <c r="B3" t="s">
        <v>24</v>
      </c>
      <c r="C3">
        <v>0</v>
      </c>
      <c r="D3" s="11"/>
      <c r="E3">
        <v>1</v>
      </c>
      <c r="F3">
        <v>0</v>
      </c>
      <c r="G3">
        <v>2</v>
      </c>
      <c r="H3">
        <v>2</v>
      </c>
      <c r="I3">
        <v>2</v>
      </c>
      <c r="J3">
        <v>2</v>
      </c>
      <c r="K3">
        <f>SUM(C3:J3)</f>
        <v>9</v>
      </c>
      <c r="L3" s="15">
        <f t="shared" ref="L3:L9" si="0">K3/$K$10</f>
        <v>0.15517241379310345</v>
      </c>
      <c r="N3" s="14"/>
      <c r="O3" s="14"/>
      <c r="P3" s="14"/>
      <c r="Q3" s="14"/>
    </row>
    <row r="4" spans="1:17" x14ac:dyDescent="0.35">
      <c r="A4" s="2">
        <v>3</v>
      </c>
      <c r="B4" t="s">
        <v>25</v>
      </c>
      <c r="C4">
        <v>0</v>
      </c>
      <c r="D4">
        <v>1</v>
      </c>
      <c r="E4" s="11"/>
      <c r="F4">
        <v>2</v>
      </c>
      <c r="G4">
        <v>2</v>
      </c>
      <c r="H4">
        <v>2</v>
      </c>
      <c r="I4">
        <v>2</v>
      </c>
      <c r="J4">
        <v>2</v>
      </c>
      <c r="K4">
        <f t="shared" ref="K4:K9" si="1">SUM(C4:J4)</f>
        <v>11</v>
      </c>
      <c r="L4" s="15">
        <f t="shared" si="0"/>
        <v>0.18965517241379309</v>
      </c>
      <c r="N4" s="14"/>
      <c r="O4" s="14"/>
      <c r="P4" s="14"/>
      <c r="Q4" s="14"/>
    </row>
    <row r="5" spans="1:17" x14ac:dyDescent="0.35">
      <c r="A5" s="2">
        <v>4</v>
      </c>
      <c r="B5" t="s">
        <v>27</v>
      </c>
      <c r="C5">
        <v>0</v>
      </c>
      <c r="D5">
        <v>2</v>
      </c>
      <c r="E5">
        <v>0</v>
      </c>
      <c r="F5" s="11"/>
      <c r="G5">
        <v>0</v>
      </c>
      <c r="H5">
        <v>1</v>
      </c>
      <c r="I5">
        <v>0</v>
      </c>
      <c r="J5">
        <v>1</v>
      </c>
      <c r="K5">
        <f t="shared" si="1"/>
        <v>4</v>
      </c>
      <c r="L5" s="15">
        <f t="shared" si="0"/>
        <v>6.8965517241379309E-2</v>
      </c>
      <c r="N5" s="14" t="s">
        <v>6</v>
      </c>
      <c r="O5" s="14"/>
      <c r="P5" s="14" t="s">
        <v>7</v>
      </c>
      <c r="Q5" s="14"/>
    </row>
    <row r="6" spans="1:17" x14ac:dyDescent="0.35">
      <c r="A6" s="2">
        <v>5</v>
      </c>
      <c r="B6" t="s">
        <v>28</v>
      </c>
      <c r="C6">
        <v>0</v>
      </c>
      <c r="D6">
        <v>0</v>
      </c>
      <c r="E6">
        <v>0</v>
      </c>
      <c r="F6">
        <v>2</v>
      </c>
      <c r="G6" s="11"/>
      <c r="H6">
        <v>2</v>
      </c>
      <c r="I6">
        <v>0</v>
      </c>
      <c r="J6">
        <v>2</v>
      </c>
      <c r="K6">
        <f t="shared" si="1"/>
        <v>6</v>
      </c>
      <c r="L6" s="15">
        <f t="shared" si="0"/>
        <v>0.10344827586206896</v>
      </c>
      <c r="N6" s="14"/>
      <c r="O6" s="14"/>
      <c r="P6" s="14" t="s">
        <v>8</v>
      </c>
      <c r="Q6" s="14"/>
    </row>
    <row r="7" spans="1:17" x14ac:dyDescent="0.35">
      <c r="A7" s="2">
        <v>6</v>
      </c>
      <c r="B7" t="s">
        <v>29</v>
      </c>
      <c r="C7">
        <v>0</v>
      </c>
      <c r="D7">
        <v>0</v>
      </c>
      <c r="E7">
        <v>0</v>
      </c>
      <c r="F7">
        <v>1</v>
      </c>
      <c r="G7">
        <v>2</v>
      </c>
      <c r="H7" s="11"/>
      <c r="I7">
        <v>0</v>
      </c>
      <c r="J7">
        <v>1</v>
      </c>
      <c r="K7">
        <f t="shared" si="1"/>
        <v>4</v>
      </c>
      <c r="L7" s="15">
        <f t="shared" si="0"/>
        <v>6.8965517241379309E-2</v>
      </c>
      <c r="N7" s="14"/>
      <c r="O7" s="14"/>
      <c r="P7" s="14" t="s">
        <v>9</v>
      </c>
      <c r="Q7" s="14"/>
    </row>
    <row r="8" spans="1:17" x14ac:dyDescent="0.35">
      <c r="A8" s="2">
        <v>7</v>
      </c>
      <c r="B8" t="s">
        <v>30</v>
      </c>
      <c r="C8">
        <v>0</v>
      </c>
      <c r="D8">
        <v>0</v>
      </c>
      <c r="E8">
        <v>0</v>
      </c>
      <c r="F8">
        <v>2</v>
      </c>
      <c r="G8">
        <v>2</v>
      </c>
      <c r="H8">
        <v>2</v>
      </c>
      <c r="I8" s="11"/>
      <c r="J8">
        <v>2</v>
      </c>
      <c r="K8">
        <f t="shared" si="1"/>
        <v>8</v>
      </c>
      <c r="L8" s="15">
        <f t="shared" si="0"/>
        <v>0.13793103448275862</v>
      </c>
    </row>
    <row r="9" spans="1:17" x14ac:dyDescent="0.35">
      <c r="A9" s="2">
        <v>8</v>
      </c>
      <c r="B9" t="s">
        <v>31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 s="11"/>
      <c r="K9">
        <f t="shared" si="1"/>
        <v>2</v>
      </c>
      <c r="L9" s="15">
        <f t="shared" si="0"/>
        <v>3.4482758620689655E-2</v>
      </c>
    </row>
    <row r="10" spans="1:17" x14ac:dyDescent="0.35">
      <c r="A10" s="16" t="s">
        <v>10</v>
      </c>
      <c r="B10" s="16"/>
      <c r="K10">
        <f>SUM(K2:K9)</f>
        <v>58</v>
      </c>
      <c r="L10">
        <f>SUM(L2:L9)</f>
        <v>1.0000000000000002</v>
      </c>
    </row>
  </sheetData>
  <mergeCells count="1">
    <mergeCell ref="A10:B10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125" zoomScaleNormal="125" zoomScalePageLayoutView="125" workbookViewId="0">
      <selection activeCell="H16" sqref="H16"/>
    </sheetView>
  </sheetViews>
  <sheetFormatPr baseColWidth="10" defaultColWidth="11" defaultRowHeight="15.5" x14ac:dyDescent="0.35"/>
  <cols>
    <col min="1" max="1" width="5.33203125" customWidth="1"/>
    <col min="2" max="2" width="36.58203125" customWidth="1"/>
    <col min="3" max="3" width="11.58203125" customWidth="1"/>
    <col min="4" max="4" width="9.83203125" customWidth="1"/>
    <col min="5" max="5" width="8.83203125" customWidth="1"/>
    <col min="6" max="6" width="1.58203125" customWidth="1"/>
    <col min="7" max="7" width="9.83203125" customWidth="1"/>
    <col min="8" max="8" width="8.83203125" customWidth="1"/>
    <col min="9" max="9" width="1.58203125" customWidth="1"/>
    <col min="10" max="10" width="9.83203125" customWidth="1"/>
    <col min="11" max="11" width="8.83203125" customWidth="1"/>
  </cols>
  <sheetData>
    <row r="1" spans="1:11" ht="51" customHeight="1" x14ac:dyDescent="0.35">
      <c r="B1" s="18" t="s">
        <v>11</v>
      </c>
      <c r="C1" s="18"/>
      <c r="D1" s="18"/>
      <c r="E1" s="18"/>
      <c r="F1" s="18"/>
      <c r="G1" s="18"/>
      <c r="H1" s="18"/>
      <c r="I1" s="18"/>
      <c r="J1" s="18"/>
      <c r="K1" s="18"/>
    </row>
    <row r="2" spans="1:11" ht="15.75" customHeight="1" x14ac:dyDescent="0.35"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5.75" customHeight="1" x14ac:dyDescent="0.35">
      <c r="B3" s="10" t="s">
        <v>12</v>
      </c>
      <c r="C3" s="20" t="s">
        <v>19</v>
      </c>
      <c r="D3" s="20"/>
      <c r="E3" s="8"/>
      <c r="F3" s="8"/>
      <c r="G3" s="8"/>
      <c r="H3" s="10" t="s">
        <v>13</v>
      </c>
      <c r="I3" s="9"/>
      <c r="J3" s="21">
        <f ca="1">TODAY()</f>
        <v>45994</v>
      </c>
      <c r="K3" s="21"/>
    </row>
    <row r="4" spans="1:11" ht="15.75" customHeight="1" x14ac:dyDescent="0.35"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x14ac:dyDescent="0.35">
      <c r="A5" s="19" t="s">
        <v>14</v>
      </c>
      <c r="B5" s="19" t="s">
        <v>1</v>
      </c>
      <c r="C5" s="19" t="s">
        <v>3</v>
      </c>
      <c r="D5" s="17" t="s">
        <v>21</v>
      </c>
      <c r="E5" s="17"/>
      <c r="F5" s="6"/>
      <c r="G5" s="17" t="s">
        <v>22</v>
      </c>
      <c r="H5" s="17"/>
      <c r="I5" s="6"/>
      <c r="J5" s="17" t="s">
        <v>23</v>
      </c>
      <c r="K5" s="17"/>
    </row>
    <row r="6" spans="1:11" x14ac:dyDescent="0.35">
      <c r="A6" s="19"/>
      <c r="B6" s="19"/>
      <c r="C6" s="19"/>
      <c r="D6" s="4" t="s">
        <v>15</v>
      </c>
      <c r="E6" s="4" t="s">
        <v>16</v>
      </c>
      <c r="F6" s="6"/>
      <c r="G6" s="4" t="s">
        <v>17</v>
      </c>
      <c r="H6" s="4" t="s">
        <v>16</v>
      </c>
      <c r="I6" s="6"/>
      <c r="J6" s="4" t="s">
        <v>15</v>
      </c>
      <c r="K6" s="4" t="s">
        <v>16</v>
      </c>
    </row>
    <row r="7" spans="1:11" x14ac:dyDescent="0.35">
      <c r="A7">
        <v>1</v>
      </c>
      <c r="B7" t="s">
        <v>20</v>
      </c>
      <c r="C7" s="1">
        <f>Paarvergleichsmatrix!L2</f>
        <v>0.2413793103448276</v>
      </c>
      <c r="D7" s="1">
        <v>4.5</v>
      </c>
      <c r="E7" s="4">
        <f>C7*D7</f>
        <v>1.0862068965517242</v>
      </c>
      <c r="F7" s="6"/>
      <c r="G7" s="1">
        <v>5</v>
      </c>
      <c r="H7" s="4">
        <f>C7*G7</f>
        <v>1.2068965517241379</v>
      </c>
      <c r="I7" s="6"/>
      <c r="J7" s="1">
        <v>5.5</v>
      </c>
      <c r="K7" s="4">
        <f>C7*J7</f>
        <v>1.3275862068965518</v>
      </c>
    </row>
    <row r="8" spans="1:11" x14ac:dyDescent="0.35">
      <c r="A8">
        <v>2</v>
      </c>
      <c r="B8" t="s">
        <v>24</v>
      </c>
      <c r="C8" s="1">
        <f>Paarvergleichsmatrix!L3</f>
        <v>0.15517241379310345</v>
      </c>
      <c r="D8" s="1">
        <v>5</v>
      </c>
      <c r="E8" s="4">
        <f t="shared" ref="E8:E14" si="0">C8*D8</f>
        <v>0.77586206896551724</v>
      </c>
      <c r="F8" s="6"/>
      <c r="G8" s="1">
        <v>4</v>
      </c>
      <c r="H8" s="4">
        <f t="shared" ref="H8:H14" si="1">C8*G8</f>
        <v>0.62068965517241381</v>
      </c>
      <c r="I8" s="6"/>
      <c r="J8" s="1">
        <v>5.5</v>
      </c>
      <c r="K8" s="4">
        <f t="shared" ref="K8:K14" si="2">C8*J8</f>
        <v>0.85344827586206895</v>
      </c>
    </row>
    <row r="9" spans="1:11" x14ac:dyDescent="0.35">
      <c r="A9">
        <v>3</v>
      </c>
      <c r="B9" t="s">
        <v>25</v>
      </c>
      <c r="C9" s="1">
        <f>Paarvergleichsmatrix!L4</f>
        <v>0.18965517241379309</v>
      </c>
      <c r="D9" s="1">
        <v>5</v>
      </c>
      <c r="E9" s="4">
        <f t="shared" si="0"/>
        <v>0.94827586206896552</v>
      </c>
      <c r="F9" s="6"/>
      <c r="G9" s="1">
        <v>5.5</v>
      </c>
      <c r="H9" s="4">
        <f t="shared" si="1"/>
        <v>1.0431034482758621</v>
      </c>
      <c r="I9" s="6"/>
      <c r="J9" s="1">
        <v>3.5</v>
      </c>
      <c r="K9" s="4">
        <f t="shared" si="2"/>
        <v>0.6637931034482758</v>
      </c>
    </row>
    <row r="10" spans="1:11" x14ac:dyDescent="0.35">
      <c r="A10">
        <v>4</v>
      </c>
      <c r="B10" t="s">
        <v>26</v>
      </c>
      <c r="C10" s="1">
        <f>Paarvergleichsmatrix!L5</f>
        <v>6.8965517241379309E-2</v>
      </c>
      <c r="D10" s="1">
        <v>4.5</v>
      </c>
      <c r="E10" s="4">
        <f t="shared" si="0"/>
        <v>0.31034482758620691</v>
      </c>
      <c r="F10" s="6"/>
      <c r="G10" s="1">
        <v>5</v>
      </c>
      <c r="H10" s="4">
        <f t="shared" si="1"/>
        <v>0.34482758620689657</v>
      </c>
      <c r="I10" s="6"/>
      <c r="J10" s="1">
        <v>5.5</v>
      </c>
      <c r="K10" s="4">
        <f t="shared" si="2"/>
        <v>0.37931034482758619</v>
      </c>
    </row>
    <row r="11" spans="1:11" x14ac:dyDescent="0.35">
      <c r="A11">
        <v>5</v>
      </c>
      <c r="B11" t="s">
        <v>28</v>
      </c>
      <c r="C11" s="1">
        <f>Paarvergleichsmatrix!L6</f>
        <v>0.10344827586206896</v>
      </c>
      <c r="D11" s="1">
        <v>4</v>
      </c>
      <c r="E11" s="4">
        <f t="shared" si="0"/>
        <v>0.41379310344827586</v>
      </c>
      <c r="F11" s="6"/>
      <c r="G11" s="1">
        <v>5</v>
      </c>
      <c r="H11" s="4">
        <f t="shared" si="1"/>
        <v>0.51724137931034486</v>
      </c>
      <c r="I11" s="6"/>
      <c r="J11" s="1">
        <v>4</v>
      </c>
      <c r="K11" s="4">
        <f t="shared" si="2"/>
        <v>0.41379310344827586</v>
      </c>
    </row>
    <row r="12" spans="1:11" x14ac:dyDescent="0.35">
      <c r="A12">
        <v>6</v>
      </c>
      <c r="B12" t="s">
        <v>29</v>
      </c>
      <c r="C12" s="1">
        <f>Paarvergleichsmatrix!L7</f>
        <v>6.8965517241379309E-2</v>
      </c>
      <c r="D12" s="1">
        <v>4.5</v>
      </c>
      <c r="E12" s="4">
        <f t="shared" si="0"/>
        <v>0.31034482758620691</v>
      </c>
      <c r="F12" s="6"/>
      <c r="G12" s="1">
        <v>5.5</v>
      </c>
      <c r="H12" s="4">
        <f t="shared" si="1"/>
        <v>0.37931034482758619</v>
      </c>
      <c r="I12" s="6"/>
      <c r="J12" s="1">
        <v>4</v>
      </c>
      <c r="K12" s="4">
        <f t="shared" si="2"/>
        <v>0.27586206896551724</v>
      </c>
    </row>
    <row r="13" spans="1:11" x14ac:dyDescent="0.35">
      <c r="A13">
        <v>7</v>
      </c>
      <c r="B13" t="s">
        <v>30</v>
      </c>
      <c r="C13" s="1">
        <f>Paarvergleichsmatrix!L8</f>
        <v>0.13793103448275862</v>
      </c>
      <c r="D13" s="1">
        <v>5</v>
      </c>
      <c r="E13" s="4">
        <f t="shared" si="0"/>
        <v>0.68965517241379315</v>
      </c>
      <c r="F13" s="6"/>
      <c r="G13" s="1">
        <v>6</v>
      </c>
      <c r="H13" s="4">
        <f t="shared" si="1"/>
        <v>0.82758620689655171</v>
      </c>
      <c r="I13" s="6"/>
      <c r="J13" s="1">
        <v>4.5</v>
      </c>
      <c r="K13" s="4">
        <f t="shared" si="2"/>
        <v>0.62068965517241381</v>
      </c>
    </row>
    <row r="14" spans="1:11" x14ac:dyDescent="0.35">
      <c r="A14">
        <v>8</v>
      </c>
      <c r="B14" t="s">
        <v>31</v>
      </c>
      <c r="C14" s="1">
        <f>Paarvergleichsmatrix!L9</f>
        <v>3.4482758620689655E-2</v>
      </c>
      <c r="D14" s="1">
        <v>5.5</v>
      </c>
      <c r="E14" s="4">
        <f t="shared" si="0"/>
        <v>0.18965517241379309</v>
      </c>
      <c r="F14" s="6"/>
      <c r="G14" s="1">
        <v>5.5</v>
      </c>
      <c r="H14" s="4">
        <f t="shared" si="1"/>
        <v>0.18965517241379309</v>
      </c>
      <c r="I14" s="6"/>
      <c r="J14" s="1">
        <v>4</v>
      </c>
      <c r="K14" s="4">
        <f t="shared" si="2"/>
        <v>0.13793103448275862</v>
      </c>
    </row>
    <row r="15" spans="1:11" x14ac:dyDescent="0.35">
      <c r="E15" s="1"/>
      <c r="F15" s="1"/>
      <c r="G15" s="1"/>
      <c r="H15" s="1"/>
      <c r="I15" s="1"/>
      <c r="J15" s="1"/>
      <c r="K15" s="1"/>
    </row>
    <row r="16" spans="1:11" x14ac:dyDescent="0.35">
      <c r="E16" s="1"/>
      <c r="F16" s="1"/>
      <c r="G16" s="1"/>
      <c r="H16" s="1"/>
      <c r="I16" s="1"/>
      <c r="J16" s="1"/>
      <c r="K16" s="1"/>
    </row>
    <row r="17" spans="2:11" x14ac:dyDescent="0.35">
      <c r="B17" s="2" t="s">
        <v>18</v>
      </c>
      <c r="C17" s="2">
        <f>SUM(C7:C15)</f>
        <v>1.0000000000000002</v>
      </c>
      <c r="D17" s="2"/>
      <c r="E17" s="5">
        <f>SUM(E7:E14)</f>
        <v>4.7241379310344831</v>
      </c>
      <c r="F17" s="7"/>
      <c r="G17" s="3"/>
      <c r="H17" s="5">
        <f>SUM(H7:H14)</f>
        <v>5.1293103448275854</v>
      </c>
      <c r="I17" s="7"/>
      <c r="J17" s="3"/>
      <c r="K17" s="5">
        <f>SUM(K7:K14)</f>
        <v>4.6724137931034493</v>
      </c>
    </row>
  </sheetData>
  <mergeCells count="9">
    <mergeCell ref="J5:K5"/>
    <mergeCell ref="B1:K1"/>
    <mergeCell ref="A5:A6"/>
    <mergeCell ref="D5:E5"/>
    <mergeCell ref="G5:H5"/>
    <mergeCell ref="B5:B6"/>
    <mergeCell ref="C5:C6"/>
    <mergeCell ref="C3:D3"/>
    <mergeCell ref="J3:K3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141A13072FBF84B855F5E71E2476774" ma:contentTypeVersion="5" ma:contentTypeDescription="Ein neues Dokument erstellen." ma:contentTypeScope="" ma:versionID="4be09821456150b624ae06833ee54772">
  <xsd:schema xmlns:xsd="http://www.w3.org/2001/XMLSchema" xmlns:xs="http://www.w3.org/2001/XMLSchema" xmlns:p="http://schemas.microsoft.com/office/2006/metadata/properties" xmlns:ns3="e8c4b956-0f51-4345-99b6-fc431fab7758" targetNamespace="http://schemas.microsoft.com/office/2006/metadata/properties" ma:root="true" ma:fieldsID="ff1b372e74d0ab9490be8eab2cefcb5e" ns3:_="">
    <xsd:import namespace="e8c4b956-0f51-4345-99b6-fc431fab77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4b956-0f51-4345-99b6-fc431fab77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c4b956-0f51-4345-99b6-fc431fab775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4ACF72-AD65-484B-A3D2-AECF2BB89E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c4b956-0f51-4345-99b6-fc431fab77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71EBE7-8971-4DDF-88FA-1C92CF8DD3DD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e8c4b956-0f51-4345-99b6-fc431fab7758"/>
    <ds:schemaRef ds:uri="http://purl.org/dc/terms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9E115B0-5CF8-468A-9C83-D32E48DE1B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Paarvergleichsmatrix</vt:lpstr>
      <vt:lpstr>Nutzwertanalyse Vorlage </vt:lpstr>
      <vt:lpstr>'Nutzwertanalyse Vorlage '!Druckbereich</vt:lpstr>
    </vt:vector>
  </TitlesOfParts>
  <Manager/>
  <Company>Muster-Vorlage.ch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Nutzwertanalyse Vorlage</dc:title>
  <dc:subject>Nutzwertanalyse</dc:subject>
  <dc:creator>Muster-Vorlage.ch</dc:creator>
  <cp:keywords>Nutzwertanalyse</cp:keywords>
  <dc:description>https://www.muster-vorlage.ch</dc:description>
  <cp:lastModifiedBy>Emanuel Wildi</cp:lastModifiedBy>
  <cp:revision/>
  <dcterms:created xsi:type="dcterms:W3CDTF">2017-01-31T19:40:10Z</dcterms:created>
  <dcterms:modified xsi:type="dcterms:W3CDTF">2025-12-03T18:23:23Z</dcterms:modified>
  <cp:category>Vorlage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0x0101006141A13072FBF84B855F5E71E2476774</vt:lpwstr>
  </property>
  <property fmtid="{D5CDD505-2E9C-101B-9397-08002B2CF9AE}" pid="3" name="MediaServiceImageTags">
    <vt:lpwstr/>
  </property>
</Properties>
</file>